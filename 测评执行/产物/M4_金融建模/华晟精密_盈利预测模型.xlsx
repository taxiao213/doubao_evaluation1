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盈利预测" sheetId="2" state="visible" r:id="rId2"/>
    <sheet xmlns:r="http://schemas.openxmlformats.org/officeDocument/2006/relationships" name="敏感性分析" sheetId="3" state="visible" r:id="rId3"/>
    <sheet xmlns:r="http://schemas.openxmlformats.org/officeDocument/2006/relationships" name="勾稽校验" sheetId="4" state="visible" r:id="rId4"/>
    <sheet xmlns:r="http://schemas.openxmlformats.org/officeDocument/2006/relationships" name="可比公司" sheetId="5" state="visible" r:id="rId5"/>
    <sheet xmlns:r="http://schemas.openxmlformats.org/officeDocument/2006/relationships" name="来源与口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(#,##0);&quot;-&quot;"/>
    <numFmt numFmtId="166" formatCode="#,##0.00;(#,##0.00);&quot;-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80808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0F3B5D"/>
      </patternFill>
    </fill>
    <fill>
      <patternFill patternType="solid">
        <fgColor rgb="003288B9"/>
      </patternFill>
    </fill>
    <fill>
      <patternFill patternType="solid">
        <fgColor rgb="00CFE3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top style="thin">
        <color rgb="00808080"/>
      </top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5" fontId="7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164" fontId="4" fillId="5" borderId="0" applyAlignment="1" pivotButton="0" quotePrefix="0" xfId="0">
      <alignment horizontal="right" vertical="center"/>
    </xf>
    <xf numFmtId="165" fontId="4" fillId="5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166" fontId="4" fillId="5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2" customWidth="1" min="3" max="3"/>
    <col width="12" customWidth="1" min="4" max="4"/>
    <col width="12" customWidth="1" min="5" max="5"/>
  </cols>
  <sheetData>
    <row r="1" ht="24" customHeight="1">
      <c r="B1" s="1" t="inlineStr">
        <is>
          <t>华晟精密 盈利预测模型 — 假设与驱动（Assumptions）</t>
        </is>
      </c>
      <c r="C1" s="2" t="n"/>
      <c r="D1" s="2" t="n"/>
      <c r="E1" s="2" t="n"/>
    </row>
    <row r="2">
      <c r="B2" s="3" t="inlineStr">
        <is>
          <t>单位：万元（除增速、比率与每股收益外）；蓝色字体为可修改的输入假设</t>
        </is>
      </c>
    </row>
    <row r="4">
      <c r="B4" s="4" t="inlineStr">
        <is>
          <t>一、预测驱动假设（蓝色输入，可修改）</t>
        </is>
      </c>
      <c r="C4" s="5" t="n"/>
      <c r="D4" s="5" t="n"/>
      <c r="E4" s="5" t="n"/>
    </row>
    <row r="5">
      <c r="B5" s="6" t="inlineStr">
        <is>
          <t>驱动假设</t>
        </is>
      </c>
      <c r="C5" s="7" t="inlineStr">
        <is>
          <t>2025E</t>
        </is>
      </c>
      <c r="D5" s="7" t="inlineStr">
        <is>
          <t>2026E</t>
        </is>
      </c>
      <c r="E5" s="7" t="inlineStr">
        <is>
          <t>2027E</t>
        </is>
      </c>
    </row>
    <row r="6">
      <c r="B6" s="8" t="inlineStr">
        <is>
          <t>营业收入增速</t>
        </is>
      </c>
      <c r="C6" s="9" t="n">
        <v>0.15</v>
      </c>
      <c r="D6" s="9" t="n">
        <v>0.12</v>
      </c>
      <c r="E6" s="9" t="n">
        <v>0.1</v>
      </c>
    </row>
    <row r="7">
      <c r="B7" s="8" t="inlineStr">
        <is>
          <t>归母净利率</t>
        </is>
      </c>
      <c r="C7" s="9" t="n">
        <v>0.115</v>
      </c>
      <c r="D7" s="9" t="n">
        <v>0.118</v>
      </c>
      <c r="E7" s="9" t="n">
        <v>0.12</v>
      </c>
    </row>
    <row r="8">
      <c r="B8" s="8" t="inlineStr">
        <is>
          <t>研发费用率（占营收）</t>
        </is>
      </c>
      <c r="C8" s="9" t="n">
        <v>0.168</v>
      </c>
      <c r="D8" s="9" t="n">
        <v>0.165</v>
      </c>
      <c r="E8" s="9" t="n">
        <v>0.16</v>
      </c>
    </row>
    <row r="9">
      <c r="B9" s="8" t="inlineStr">
        <is>
          <t>经营现金流净额/营收</t>
        </is>
      </c>
      <c r="C9" s="9" t="n">
        <v>0.128</v>
      </c>
      <c r="D9" s="9" t="n">
        <v>0.13</v>
      </c>
      <c r="E9" s="9" t="n">
        <v>0.132</v>
      </c>
    </row>
    <row r="10">
      <c r="B10" s="8" t="inlineStr">
        <is>
          <t>总股本（万股，按 2024 年 EPS 反推）</t>
        </is>
      </c>
      <c r="C10" s="10" t="n">
        <v>6309.18</v>
      </c>
    </row>
    <row r="12">
      <c r="B12" s="4" t="inlineStr">
        <is>
          <t>二、历史基准（2024A，取自年报 PDF，静态实际值）</t>
        </is>
      </c>
      <c r="C12" s="5" t="n"/>
      <c r="D12" s="5" t="n"/>
      <c r="E12" s="5" t="n"/>
    </row>
    <row r="13">
      <c r="B13" s="8" t="inlineStr">
        <is>
          <t>2024 年营业收入（万元，脚注①剔除一次性处置收益）</t>
        </is>
      </c>
      <c r="C13" s="11" t="n">
        <v>53942</v>
      </c>
    </row>
    <row r="14">
      <c r="B14" s="8" t="inlineStr">
        <is>
          <t>2024 年归母净利润（万元）</t>
        </is>
      </c>
      <c r="C14" s="11" t="n">
        <v>6183</v>
      </c>
    </row>
    <row r="15">
      <c r="B15" s="8" t="inlineStr">
        <is>
          <t>2024 年研发投入（万元，脚注③全部费用化）</t>
        </is>
      </c>
      <c r="C15" s="11" t="n">
        <v>9051</v>
      </c>
    </row>
    <row r="16">
      <c r="B16" s="8" t="inlineStr">
        <is>
          <t>2024 年经营活动现金流净额（万元）</t>
        </is>
      </c>
      <c r="C16" s="11" t="n">
        <v>6892</v>
      </c>
    </row>
    <row r="17">
      <c r="B17" s="8" t="inlineStr">
        <is>
          <t>2024 年基本每股收益（元）</t>
        </is>
      </c>
      <c r="C17" s="12" t="n">
        <v>0.98</v>
      </c>
    </row>
    <row r="19">
      <c r="B19" s="13" t="inlineStr">
        <is>
          <t>Methodology: 预测期营收=上年营收×(1+营收增速)；归母净利=营收×归母净利率；研发投入=营收×研发费用率；经营现金流=营收×CFO率；EPS=归母净利/总股本。</t>
        </is>
      </c>
    </row>
    <row r="20"/>
  </sheetData>
  <mergeCells count="10">
    <mergeCell ref="C16:E16"/>
    <mergeCell ref="B1:E1"/>
    <mergeCell ref="C14:E14"/>
    <mergeCell ref="C13:E13"/>
    <mergeCell ref="B4:E4"/>
    <mergeCell ref="B12:E12"/>
    <mergeCell ref="C17:E17"/>
    <mergeCell ref="B19:E20"/>
    <mergeCell ref="C15:E15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4" customHeight="1">
      <c r="B1" s="1" t="inlineStr">
        <is>
          <t>华晟精密 盈利预测（2022A–2027E）</t>
        </is>
      </c>
      <c r="C1" s="2" t="n"/>
      <c r="D1" s="2" t="n"/>
      <c r="E1" s="2" t="n"/>
      <c r="F1" s="2" t="n"/>
      <c r="G1" s="2" t="n"/>
      <c r="H1" s="2" t="n"/>
    </row>
    <row r="2">
      <c r="B2" s="3" t="inlineStr">
        <is>
          <t>单位：万元（除比率与每股收益）；历史 A 为实际值（黑字），预测 E 为公式；跨表引用绿字</t>
        </is>
      </c>
    </row>
    <row r="4">
      <c r="B4" s="4" t="inlineStr">
        <is>
          <t>指标</t>
        </is>
      </c>
      <c r="C4" s="14" t="inlineStr">
        <is>
          <t>2022A</t>
        </is>
      </c>
      <c r="D4" s="14" t="inlineStr">
        <is>
          <t>2023A</t>
        </is>
      </c>
      <c r="E4" s="14" t="inlineStr">
        <is>
          <t>2024A</t>
        </is>
      </c>
      <c r="F4" s="14" t="inlineStr">
        <is>
          <t>2025E</t>
        </is>
      </c>
      <c r="G4" s="14" t="inlineStr">
        <is>
          <t>2026E</t>
        </is>
      </c>
      <c r="H4" s="14" t="inlineStr">
        <is>
          <t>2027E</t>
        </is>
      </c>
    </row>
    <row r="5">
      <c r="B5" s="15" t="inlineStr">
        <is>
          <t>营业收入（万元）</t>
        </is>
      </c>
      <c r="C5" s="11" t="n">
        <v>38417</v>
      </c>
      <c r="D5" s="11" t="n">
        <v>45166</v>
      </c>
      <c r="E5" s="11" t="n">
        <v>53942</v>
      </c>
      <c r="F5" s="16">
        <f>E5*(1+Assumptions!$C$6)</f>
        <v/>
      </c>
      <c r="G5" s="16">
        <f>F5*(1+Assumptions!$D$6)</f>
        <v/>
      </c>
      <c r="H5" s="16">
        <f>G5*(1+Assumptions!$E$6)</f>
        <v/>
      </c>
    </row>
    <row r="6">
      <c r="B6" s="15" t="inlineStr">
        <is>
          <t xml:space="preserve">  营收增速</t>
        </is>
      </c>
      <c r="D6" s="17">
        <f>D5/C5-1</f>
        <v/>
      </c>
      <c r="E6" s="17">
        <f>E5/D5-1</f>
        <v/>
      </c>
      <c r="F6" s="18">
        <f>Assumptions!$C$6</f>
        <v/>
      </c>
      <c r="G6" s="18">
        <f>Assumptions!$D$6</f>
        <v/>
      </c>
      <c r="H6" s="18">
        <f>Assumptions!$E$6</f>
        <v/>
      </c>
    </row>
    <row r="7">
      <c r="B7" s="19" t="inlineStr">
        <is>
          <t>归母净利润（万元）</t>
        </is>
      </c>
      <c r="C7" s="20" t="n">
        <v>3860</v>
      </c>
      <c r="D7" s="20" t="n">
        <v>4518</v>
      </c>
      <c r="E7" s="20" t="n">
        <v>6183</v>
      </c>
      <c r="F7" s="21">
        <f>F5*Assumptions!$C$7</f>
        <v/>
      </c>
      <c r="G7" s="21">
        <f>G5*Assumptions!$D$7</f>
        <v/>
      </c>
      <c r="H7" s="21">
        <f>H5*Assumptions!$E$7</f>
        <v/>
      </c>
    </row>
    <row r="8">
      <c r="B8" s="15" t="inlineStr">
        <is>
          <t xml:space="preserve">  归母净利率</t>
        </is>
      </c>
      <c r="D8" s="17">
        <f>D7/D5</f>
        <v/>
      </c>
      <c r="E8" s="17">
        <f>E7/E5</f>
        <v/>
      </c>
      <c r="F8" s="18">
        <f>Assumptions!$C$7</f>
        <v/>
      </c>
      <c r="G8" s="18">
        <f>Assumptions!$D$7</f>
        <v/>
      </c>
      <c r="H8" s="18">
        <f>Assumptions!$E$7</f>
        <v/>
      </c>
    </row>
    <row r="9">
      <c r="B9" s="15" t="inlineStr">
        <is>
          <t>研发投入（万元）</t>
        </is>
      </c>
      <c r="C9" s="11" t="n">
        <v>6120</v>
      </c>
      <c r="D9" s="11" t="n">
        <v>7483</v>
      </c>
      <c r="E9" s="11" t="n">
        <v>9051</v>
      </c>
      <c r="F9" s="16">
        <f>F5*Assumptions!$C$8</f>
        <v/>
      </c>
      <c r="G9" s="16">
        <f>G5*Assumptions!$D$8</f>
        <v/>
      </c>
      <c r="H9" s="16">
        <f>H5*Assumptions!$E$8</f>
        <v/>
      </c>
    </row>
    <row r="10">
      <c r="B10" s="15" t="inlineStr">
        <is>
          <t xml:space="preserve">  研发费用率</t>
        </is>
      </c>
      <c r="D10" s="17">
        <f>D9/D5</f>
        <v/>
      </c>
      <c r="E10" s="17">
        <f>E9/E5</f>
        <v/>
      </c>
      <c r="F10" s="18">
        <f>Assumptions!$C$8</f>
        <v/>
      </c>
      <c r="G10" s="18">
        <f>Assumptions!$D$8</f>
        <v/>
      </c>
      <c r="H10" s="18">
        <f>Assumptions!$E$8</f>
        <v/>
      </c>
    </row>
    <row r="11">
      <c r="B11" s="15" t="inlineStr">
        <is>
          <t>经营活动现金流净额（万元）</t>
        </is>
      </c>
      <c r="C11" s="11" t="n">
        <v>4204</v>
      </c>
      <c r="D11" s="11" t="n">
        <v>5377</v>
      </c>
      <c r="E11" s="11" t="n">
        <v>6892</v>
      </c>
      <c r="F11" s="16">
        <f>F5*Assumptions!$C$9</f>
        <v/>
      </c>
      <c r="G11" s="16">
        <f>G5*Assumptions!$D$9</f>
        <v/>
      </c>
      <c r="H11" s="16">
        <f>H5*Assumptions!$E$9</f>
        <v/>
      </c>
    </row>
    <row r="12">
      <c r="B12" s="15" t="inlineStr">
        <is>
          <t xml:space="preserve">  CFO/营收</t>
        </is>
      </c>
      <c r="D12" s="17">
        <f>D11/D5</f>
        <v/>
      </c>
      <c r="E12" s="17">
        <f>E11/E5</f>
        <v/>
      </c>
      <c r="F12" s="18">
        <f>Assumptions!$C$9</f>
        <v/>
      </c>
      <c r="G12" s="18">
        <f>Assumptions!$D$9</f>
        <v/>
      </c>
      <c r="H12" s="18">
        <f>Assumptions!$E$9</f>
        <v/>
      </c>
    </row>
    <row r="13">
      <c r="B13" s="15" t="inlineStr">
        <is>
          <t>总股本（万股）</t>
        </is>
      </c>
      <c r="C13" s="11">
        <f>C7/C14</f>
        <v/>
      </c>
      <c r="D13" s="11">
        <f>D7/D14</f>
        <v/>
      </c>
      <c r="E13" s="11">
        <f>E7/E14</f>
        <v/>
      </c>
      <c r="F13" s="16">
        <f>Assumptions!$C$10</f>
        <v/>
      </c>
      <c r="G13" s="16">
        <f>Assumptions!$C$10</f>
        <v/>
      </c>
      <c r="H13" s="16">
        <f>Assumptions!$C$10</f>
        <v/>
      </c>
    </row>
    <row r="14">
      <c r="B14" s="19" t="inlineStr">
        <is>
          <t>基本每股收益（元）</t>
        </is>
      </c>
      <c r="C14" s="22" t="n">
        <v>0.64</v>
      </c>
      <c r="D14" s="22" t="n">
        <v>0.73</v>
      </c>
      <c r="E14" s="22" t="n">
        <v>0.98</v>
      </c>
      <c r="F14" s="23">
        <f>F7/Assumptions!$C$10</f>
        <v/>
      </c>
      <c r="G14" s="23">
        <f>G7/Assumptions!$C$10</f>
        <v/>
      </c>
      <c r="H14" s="23">
        <f>H7/Assumptions!$C$10</f>
        <v/>
      </c>
    </row>
    <row r="16">
      <c r="B16" s="3" t="inlineStr">
        <is>
          <t>Sources: 历史数据取自《华晟精密2024年报节选.pdf》第2页主要财务数据（虚构公司，供测评）；预测假设见 Assumptions 表。</t>
        </is>
      </c>
    </row>
  </sheetData>
  <mergeCells count="2">
    <mergeCell ref="B1:H1"/>
    <mergeCell ref="B16:H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5" customWidth="1" min="3" max="3"/>
    <col width="15" customWidth="1" min="4" max="4"/>
    <col width="15" customWidth="1" min="5" max="5"/>
  </cols>
  <sheetData>
    <row r="1" ht="24" customHeight="1">
      <c r="B1" s="1" t="inlineStr">
        <is>
          <t>敏感性分析：2025E 营收增速假设 ±5pct 全链路联动</t>
        </is>
      </c>
      <c r="C1" s="2" t="n"/>
      <c r="D1" s="2" t="n"/>
      <c r="E1" s="2" t="n"/>
    </row>
    <row r="2">
      <c r="B2" s="3" t="inlineStr">
        <is>
          <t>仅对 2025E 营收增速做 -5pct / 基准 / +5pct 情景，2026–2027 增速与各率维持基准；结果为全链路重算公式</t>
        </is>
      </c>
    </row>
    <row r="4">
      <c r="B4" s="14" t="inlineStr">
        <is>
          <t>情景</t>
        </is>
      </c>
      <c r="C4" s="14" t="inlineStr">
        <is>
          <t>悲观（-5pct）</t>
        </is>
      </c>
      <c r="D4" s="24" t="inlineStr">
        <is>
          <t>基准</t>
        </is>
      </c>
      <c r="E4" s="14" t="inlineStr">
        <is>
          <t>乐观（+5pct）</t>
        </is>
      </c>
    </row>
    <row r="5">
      <c r="B5" s="8" t="inlineStr">
        <is>
          <t>2025E 营收增速</t>
        </is>
      </c>
      <c r="C5" s="18">
        <f>Assumptions!$C$6-0.05</f>
        <v/>
      </c>
      <c r="D5" s="25">
        <f>Assumptions!$C$6+0</f>
        <v/>
      </c>
      <c r="E5" s="18">
        <f>Assumptions!$C$6+0.05</f>
        <v/>
      </c>
    </row>
    <row r="6">
      <c r="B6" s="8" t="inlineStr">
        <is>
          <t>2025E 营业收入（万元）</t>
        </is>
      </c>
      <c r="C6" s="16">
        <f>盈利预测!$E$5*(1+C5)</f>
        <v/>
      </c>
      <c r="D6" s="26">
        <f>盈利预测!$E$5*(1+D5)</f>
        <v/>
      </c>
      <c r="E6" s="16">
        <f>盈利预测!$E$5*(1+E5)</f>
        <v/>
      </c>
    </row>
    <row r="7">
      <c r="B7" s="8" t="inlineStr">
        <is>
          <t>2026E 营业收入（万元）</t>
        </is>
      </c>
      <c r="C7" s="16">
        <f>C6*(1+Assumptions!$D$6)</f>
        <v/>
      </c>
      <c r="D7" s="26">
        <f>D6*(1+Assumptions!$D$6)</f>
        <v/>
      </c>
      <c r="E7" s="16">
        <f>E6*(1+Assumptions!$D$6)</f>
        <v/>
      </c>
    </row>
    <row r="8">
      <c r="B8" s="8" t="inlineStr">
        <is>
          <t>2027E 营业收入（万元）</t>
        </is>
      </c>
      <c r="C8" s="16">
        <f>C7*(1+Assumptions!$E$6)</f>
        <v/>
      </c>
      <c r="D8" s="26">
        <f>D7*(1+Assumptions!$E$6)</f>
        <v/>
      </c>
      <c r="E8" s="16">
        <f>E7*(1+Assumptions!$E$6)</f>
        <v/>
      </c>
    </row>
    <row r="9">
      <c r="B9" s="8" t="inlineStr">
        <is>
          <t>2027E 归母净利润（万元）</t>
        </is>
      </c>
      <c r="C9" s="16">
        <f>C8*Assumptions!$E$7</f>
        <v/>
      </c>
      <c r="D9" s="26">
        <f>D8*Assumptions!$E$7</f>
        <v/>
      </c>
      <c r="E9" s="16">
        <f>E8*Assumptions!$E$7</f>
        <v/>
      </c>
    </row>
    <row r="10">
      <c r="B10" s="8" t="inlineStr">
        <is>
          <t>2027E 基本 EPS（元）</t>
        </is>
      </c>
      <c r="C10" s="27">
        <f>C9/Assumptions!$C$10</f>
        <v/>
      </c>
      <c r="D10" s="28">
        <f>D9/Assumptions!$C$10</f>
        <v/>
      </c>
      <c r="E10" s="27">
        <f>E9/Assumptions!$C$10</f>
        <v/>
      </c>
    </row>
    <row r="12">
      <c r="B12" s="3" t="inlineStr">
        <is>
          <t>说明：修改 Assumptions 表中的营收增速或净利率，本表三种情景全部联动重算；基准列（浅黄）与主模型结果一致。</t>
        </is>
      </c>
    </row>
  </sheetData>
  <mergeCells count="3">
    <mergeCell ref="B2:F2"/>
    <mergeCell ref="B12:F12"/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B1" s="1" t="inlineStr">
        <is>
          <t>PDF 数据勾稽与跨页引用校验</t>
        </is>
      </c>
      <c r="C1" s="2" t="n"/>
      <c r="D1" s="2" t="n"/>
      <c r="E1" s="2" t="n"/>
    </row>
    <row r="2">
      <c r="B2" s="3" t="inlineStr">
        <is>
          <t>单位：万元；差异=重算值-披露值，应为 0</t>
        </is>
      </c>
    </row>
    <row r="4">
      <c r="B4" s="4" t="inlineStr">
        <is>
          <t>一、分季度数据加总 vs 全年披露</t>
        </is>
      </c>
      <c r="C4" s="5" t="n"/>
      <c r="D4" s="5" t="n"/>
      <c r="E4" s="5" t="n"/>
    </row>
    <row r="5">
      <c r="B5" s="7" t="inlineStr">
        <is>
          <t>校验项</t>
        </is>
      </c>
      <c r="C5" s="7" t="inlineStr">
        <is>
          <t>Q1</t>
        </is>
      </c>
      <c r="D5" s="7" t="inlineStr">
        <is>
          <t>Q2</t>
        </is>
      </c>
      <c r="E5" s="7" t="inlineStr">
        <is>
          <t>Q3</t>
        </is>
      </c>
      <c r="F5" s="7" t="inlineStr">
        <is>
          <t>Q4</t>
        </is>
      </c>
    </row>
    <row r="6">
      <c r="B6" s="8" t="inlineStr">
        <is>
          <t>分季度营收</t>
        </is>
      </c>
      <c r="C6" s="29" t="n">
        <v>12104</v>
      </c>
      <c r="D6" s="29" t="n">
        <v>13566</v>
      </c>
      <c r="E6" s="29" t="n">
        <v>14220</v>
      </c>
      <c r="F6" s="29" t="n">
        <v>14052</v>
      </c>
    </row>
    <row r="7">
      <c r="B7" s="8" t="inlineStr">
        <is>
          <t>分季度归母净利</t>
        </is>
      </c>
      <c r="C7" s="29" t="n">
        <v>1302</v>
      </c>
      <c r="D7" s="29" t="n">
        <v>1494</v>
      </c>
      <c r="E7" s="29" t="n">
        <v>1683</v>
      </c>
      <c r="F7" s="29" t="n">
        <v>1704</v>
      </c>
    </row>
    <row r="9">
      <c r="B9" s="4" t="inlineStr">
        <is>
          <t>二、研发投入构成（附注3，单位万元）</t>
        </is>
      </c>
      <c r="C9" s="5" t="n"/>
      <c r="D9" s="5" t="n"/>
      <c r="E9" s="5" t="n"/>
      <c r="F9" s="5" t="n"/>
    </row>
    <row r="10">
      <c r="B10" s="8" t="inlineStr">
        <is>
          <t>研发投入构成</t>
        </is>
      </c>
      <c r="C10" s="7" t="inlineStr">
        <is>
          <t>人员人工</t>
        </is>
      </c>
      <c r="D10" s="7" t="inlineStr">
        <is>
          <t>材料试制</t>
        </is>
      </c>
      <c r="E10" s="7" t="inlineStr">
        <is>
          <t>折旧摊销</t>
        </is>
      </c>
      <c r="F10" s="7" t="inlineStr">
        <is>
          <t>其他</t>
        </is>
      </c>
    </row>
    <row r="11">
      <c r="C11" s="29" t="n">
        <v>4866</v>
      </c>
      <c r="D11" s="29" t="n">
        <v>2170</v>
      </c>
      <c r="E11" s="29" t="n">
        <v>1205</v>
      </c>
      <c r="F11" s="29" t="n">
        <v>810</v>
      </c>
    </row>
    <row r="13">
      <c r="B13" s="4" t="inlineStr">
        <is>
          <t>三、勾稽差异（应为 0）</t>
        </is>
      </c>
      <c r="C13" s="5" t="n"/>
      <c r="D13" s="5" t="n"/>
      <c r="E13" s="5" t="n"/>
    </row>
    <row r="14">
      <c r="B14" s="7" t="inlineStr">
        <is>
          <t>校验项</t>
        </is>
      </c>
      <c r="C14" s="7" t="inlineStr">
        <is>
          <t>重算值</t>
        </is>
      </c>
      <c r="D14" s="7" t="inlineStr">
        <is>
          <t>披露值</t>
        </is>
      </c>
      <c r="E14" s="7" t="inlineStr">
        <is>
          <t>差异</t>
        </is>
      </c>
    </row>
    <row r="15">
      <c r="B15" s="8" t="inlineStr">
        <is>
          <t>分季度营收合计 = 全年营收</t>
        </is>
      </c>
      <c r="C15" s="29">
        <f>SUM(C6:F6)</f>
        <v/>
      </c>
      <c r="D15" s="29" t="n">
        <v>53942</v>
      </c>
      <c r="E15" s="29">
        <f>C15-D15</f>
        <v/>
      </c>
    </row>
    <row r="16">
      <c r="B16" s="8" t="inlineStr">
        <is>
          <t>分季度净利合计 = 全年归母净利</t>
        </is>
      </c>
      <c r="C16" s="29">
        <f>SUM(C7:F7)</f>
        <v/>
      </c>
      <c r="D16" s="29" t="n">
        <v>6183</v>
      </c>
      <c r="E16" s="29">
        <f>C16-D16</f>
        <v/>
      </c>
    </row>
    <row r="17">
      <c r="B17" s="8" t="inlineStr">
        <is>
          <t>研发投入构成合计 = 披露研发投入</t>
        </is>
      </c>
      <c r="C17" s="29">
        <f>SUM(C11:F11)</f>
        <v/>
      </c>
      <c r="D17" s="29" t="n">
        <v>9051</v>
      </c>
      <c r="E17" s="29">
        <f>C17-D17</f>
        <v/>
      </c>
    </row>
    <row r="19">
      <c r="B19" s="4" t="inlineStr">
        <is>
          <t>四、跨页引用</t>
        </is>
      </c>
      <c r="C19" s="5" t="n"/>
      <c r="D19" s="5" t="n"/>
      <c r="E19" s="5" t="n"/>
      <c r="F19" s="5" t="n"/>
    </row>
    <row r="20">
      <c r="B20" s="8" t="inlineStr">
        <is>
          <t>第1页脚注③ → 指向第2页「附注3：研发投入口径」（全部费用化、资本化率为0）。</t>
        </is>
      </c>
    </row>
    <row r="21">
      <c r="B21" s="8" t="inlineStr">
        <is>
          <t>脚注①：营业收入为剔除一次性处置收益后口径；脚注②：归母净利润为归属于上市公司股东的净利润。</t>
        </is>
      </c>
    </row>
  </sheetData>
  <mergeCells count="7">
    <mergeCell ref="B21:F21"/>
    <mergeCell ref="B1:E1"/>
    <mergeCell ref="B4:E4"/>
    <mergeCell ref="B20:F20"/>
    <mergeCell ref="B13:E13"/>
    <mergeCell ref="B19:F19"/>
    <mergeCell ref="B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18" customWidth="1" min="4" max="4"/>
    <col width="18" customWidth="1" min="5" max="5"/>
  </cols>
  <sheetData>
    <row r="1" ht="24" customHeight="1">
      <c r="B1" s="1" t="inlineStr">
        <is>
          <t>可比公司对比（2024A，精密制造）</t>
        </is>
      </c>
      <c r="C1" s="2" t="n"/>
      <c r="D1" s="2" t="n"/>
      <c r="E1" s="2" t="n"/>
    </row>
    <row r="2">
      <c r="B2" s="3" t="inlineStr">
        <is>
          <t>立讯精密/领益智造单位为亿元（真实公开数据）；华晟精密为虚构样本，由万元换算（÷10000）；派生指标为公式</t>
        </is>
      </c>
    </row>
    <row r="4">
      <c r="B4" s="14" t="inlineStr">
        <is>
          <t>指标</t>
        </is>
      </c>
      <c r="C4" s="14" t="inlineStr">
        <is>
          <t>立讯精密(002475)</t>
        </is>
      </c>
      <c r="D4" s="14" t="inlineStr">
        <is>
          <t>领益智造(002600)</t>
        </is>
      </c>
      <c r="E4" s="14" t="inlineStr">
        <is>
          <t>华晟精密(样本)</t>
        </is>
      </c>
    </row>
    <row r="5">
      <c r="B5" s="8" t="inlineStr">
        <is>
          <t>2023 营业收入（亿元）</t>
        </is>
      </c>
      <c r="C5" s="11" t="n">
        <v>2319.05</v>
      </c>
      <c r="D5" s="11" t="n">
        <v>341.24</v>
      </c>
      <c r="E5" s="11" t="n">
        <v>4.5166</v>
      </c>
    </row>
    <row r="6">
      <c r="B6" s="8" t="inlineStr">
        <is>
          <t>2024 营业收入（亿元）</t>
        </is>
      </c>
      <c r="C6" s="11" t="n">
        <v>2687.95</v>
      </c>
      <c r="D6" s="11" t="n">
        <v>442.6</v>
      </c>
      <c r="E6" s="11" t="n">
        <v>5.3942</v>
      </c>
    </row>
    <row r="7">
      <c r="B7" s="8" t="inlineStr">
        <is>
          <t>2023 归母净利润（亿元）</t>
        </is>
      </c>
      <c r="C7" s="11" t="n">
        <v>109.53</v>
      </c>
      <c r="D7" s="11" t="n">
        <v>20.51</v>
      </c>
      <c r="E7" s="11" t="n">
        <v>0.4518</v>
      </c>
    </row>
    <row r="8">
      <c r="B8" s="8" t="inlineStr">
        <is>
          <t>2024 归母净利润（亿元）</t>
        </is>
      </c>
      <c r="C8" s="11" t="n">
        <v>133.66</v>
      </c>
      <c r="D8" s="11" t="n">
        <v>17.55</v>
      </c>
      <c r="E8" s="11" t="n">
        <v>0.6183</v>
      </c>
    </row>
    <row r="9">
      <c r="B9" s="8" t="inlineStr">
        <is>
          <t xml:space="preserve">  营业收入增速</t>
        </is>
      </c>
      <c r="C9" s="17">
        <f>C6/C5-1</f>
        <v/>
      </c>
      <c r="D9" s="17">
        <f>D6/D5-1</f>
        <v/>
      </c>
      <c r="E9" s="17">
        <f>E6/E5-1</f>
        <v/>
      </c>
    </row>
    <row r="10">
      <c r="B10" s="8" t="inlineStr">
        <is>
          <t xml:space="preserve">  归母净利润增速</t>
        </is>
      </c>
      <c r="C10" s="17">
        <f>C8/C7-1</f>
        <v/>
      </c>
      <c r="D10" s="17">
        <f>D8/D7-1</f>
        <v/>
      </c>
      <c r="E10" s="17">
        <f>E8/E7-1</f>
        <v/>
      </c>
    </row>
    <row r="11">
      <c r="B11" s="8" t="inlineStr">
        <is>
          <t>2024 销售毛利率</t>
        </is>
      </c>
      <c r="C11" s="17" t="n">
        <v>0.1041</v>
      </c>
      <c r="D11" s="17" t="n">
        <v>0.1577</v>
      </c>
      <c r="E11" s="30" t="inlineStr">
        <is>
          <t>未披露</t>
        </is>
      </c>
    </row>
    <row r="12">
      <c r="B12" s="8" t="inlineStr">
        <is>
          <t>2024 归母净利率</t>
        </is>
      </c>
      <c r="C12" s="17">
        <f>C8/C6</f>
        <v/>
      </c>
      <c r="D12" s="17">
        <f>D8/D6</f>
        <v/>
      </c>
      <c r="E12" s="17">
        <f>E8/E6</f>
        <v/>
      </c>
    </row>
    <row r="13">
      <c r="B13" s="8" t="inlineStr">
        <is>
          <t>2024 研发费用（亿元）</t>
        </is>
      </c>
      <c r="C13" s="11" t="n">
        <v>85.56</v>
      </c>
      <c r="D13" s="11" t="n">
        <v>19.9</v>
      </c>
      <c r="E13" s="11" t="n">
        <v>0.9051</v>
      </c>
    </row>
    <row r="14">
      <c r="B14" s="8" t="inlineStr">
        <is>
          <t xml:space="preserve">  研发费用率</t>
        </is>
      </c>
      <c r="C14" s="17">
        <f>C13/C6</f>
        <v/>
      </c>
      <c r="D14" s="17">
        <f>D13/D6</f>
        <v/>
      </c>
      <c r="E14" s="17">
        <f>E13/E6</f>
        <v/>
      </c>
    </row>
    <row r="15">
      <c r="B15" s="8" t="inlineStr">
        <is>
          <t>2024 净资产收益率 ROE</t>
        </is>
      </c>
      <c r="C15" s="17" t="n">
        <v>0.1928</v>
      </c>
      <c r="D15" s="17" t="n">
        <v>0.0885</v>
      </c>
      <c r="E15" s="30" t="inlineStr">
        <is>
          <t>未披露</t>
        </is>
      </c>
    </row>
    <row r="17">
      <c r="B17" s="13" t="inlineStr">
        <is>
          <t>Sources: 立讯精密(002475)、领益智造(002600) 2023/2024 年报数据来自豆包金融数据（同花顺口径）；华晟精密为 PDF 虚构样本，毛利率、ROE 未在节选年报中披露。</t>
        </is>
      </c>
    </row>
    <row r="18"/>
  </sheetData>
  <mergeCells count="3">
    <mergeCell ref="B2:F2"/>
    <mergeCell ref="B17:F18"/>
    <mergeCell ref="B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F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4" customHeight="1">
      <c r="B1" s="1" t="inlineStr">
        <is>
          <t>数据来源、口径与颜色约定</t>
        </is>
      </c>
      <c r="C1" s="2" t="n"/>
      <c r="D1" s="2" t="n"/>
    </row>
    <row r="4" ht="30" customHeight="1">
      <c r="B4" s="31" t="inlineStr">
        <is>
          <t>历史数据</t>
        </is>
      </c>
      <c r="C4" s="32" t="inlineStr">
        <is>
          <t>华晟精密2024年报节选.pdf（虚构公司，证券代码839201，披露日期2025-03-28），第2页主要财务数据，单位万元。</t>
        </is>
      </c>
    </row>
    <row r="5" ht="30" customHeight="1">
      <c r="B5" s="31" t="inlineStr">
        <is>
          <t>脚注①</t>
        </is>
      </c>
      <c r="C5" s="32" t="inlineStr">
        <is>
          <t>营业收入为剔除一次性处置收益后的口径。</t>
        </is>
      </c>
    </row>
    <row r="6" ht="30" customHeight="1">
      <c r="B6" s="31" t="inlineStr">
        <is>
          <t>脚注②</t>
        </is>
      </c>
      <c r="C6" s="32" t="inlineStr">
        <is>
          <t>归母净利润指归属于上市公司股东的净利润。</t>
        </is>
      </c>
    </row>
    <row r="7" ht="30" customHeight="1">
      <c r="B7" s="31" t="inlineStr">
        <is>
          <t>脚注③ / 跨页引用</t>
        </is>
      </c>
      <c r="C7" s="32" t="inlineStr">
        <is>
          <t>研发投入全部费用化、资本化率为0；第1页脚注③指向第2页「附注3：研发投入口径」。</t>
        </is>
      </c>
    </row>
    <row r="8" ht="30" customHeight="1">
      <c r="B8" s="31" t="inlineStr">
        <is>
          <t>分季度勾稽</t>
        </is>
      </c>
      <c r="C8" s="32" t="inlineStr">
        <is>
          <t>分季度营收合计 53,942 = 全年营收；分季度净利合计 6,183 = 全年归母净利；研发构成合计 9,051 = 研发投入。</t>
        </is>
      </c>
    </row>
    <row r="9" ht="30" customHeight="1">
      <c r="B9" s="31" t="inlineStr">
        <is>
          <t>可比公司</t>
        </is>
      </c>
      <c r="C9" s="32" t="inlineStr">
        <is>
          <t>立讯精密(002475)、领益智造(002600) 2023/2024 年报数据，来源豆包金融数据（同花顺利润业绩表口径），单位亿元。</t>
        </is>
      </c>
    </row>
    <row r="10" ht="30" customHeight="1">
      <c r="B10" s="31" t="inlineStr">
        <is>
          <t>预测假设</t>
        </is>
      </c>
      <c r="C10" s="32" t="inlineStr">
        <is>
          <t>2025–2027 营收增速、净利率、研发费用率、CFO率为测评演示假设（蓝色），非券商预测，可在 Assumptions 表修改。</t>
        </is>
      </c>
    </row>
    <row r="11" ht="30" customHeight="1">
      <c r="B11" s="31" t="inlineStr">
        <is>
          <t>颜色约定</t>
        </is>
      </c>
      <c r="C11" s="32" t="inlineStr">
        <is>
          <t>蓝色字体=可修改输入假设；黑色=历史实际值/本表公式；绿色=跨工作表引用；灰色斜体=说明注释。</t>
        </is>
      </c>
    </row>
  </sheetData>
  <mergeCells count="9">
    <mergeCell ref="C9:F9"/>
    <mergeCell ref="C8:F8"/>
    <mergeCell ref="C4:F4"/>
    <mergeCell ref="B1:D1"/>
    <mergeCell ref="C6:F6"/>
    <mergeCell ref="C7:F7"/>
    <mergeCell ref="C11:F11"/>
    <mergeCell ref="C10:F10"/>
    <mergeCell ref="C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2026-09-22T14:13:29Z</dcterms:created>
  <dcterms:modified xmlns:dcterms="http://purl.org/dc/terms/" xmlns:xsi="http://www.w3.org/2001/XMLSchema-instance" xsi:type="dcterms:W3CDTF">2026-09-22T14:13:29Z</dcterms:modified>
</cp:coreProperties>
</file>