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分析报表" sheetId="1" state="visible" r:id="rId1"/>
    <sheet xmlns:r="http://schemas.openxmlformats.org/officeDocument/2006/relationships" name="口径与问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.0%"/>
    <numFmt numFmtId="166" formatCode="+0.0&quot;pct&quot;;-0.0&quot;pct&quot;;0.0&quot;pct&quot;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9"/>
    </font>
    <font>
      <name val="微软雅黑"/>
      <b val="1"/>
      <color rgb="00FFFFFF"/>
      <sz val="11"/>
    </font>
    <font>
      <name val="微软雅黑"/>
      <b val="1"/>
      <color rgb="001F1F1F"/>
      <sz val="11"/>
    </font>
    <font>
      <name val="Arial"/>
      <color rgb="001F1F1F"/>
      <sz val="11"/>
    </font>
    <font>
      <name val="Arial"/>
      <i val="1"/>
      <color rgb="001F4E79"/>
      <sz val="11"/>
    </font>
    <font>
      <name val="Arial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top style="thin">
        <color rgb="0017365D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华晟精密财务摘要分析报表（2022–2024 年）</t>
        </is>
      </c>
    </row>
    <row r="2">
      <c r="A2" s="2" t="inlineStr">
        <is>
          <t>金额单位：万元；比率为百分比；数据来源：table1_财务摘要（CSV 与表格截图一致）</t>
        </is>
      </c>
    </row>
    <row r="3" ht="22" customHeight="1">
      <c r="A3" s="3" t="inlineStr">
        <is>
          <t>指标</t>
        </is>
      </c>
      <c r="B3" s="3" t="inlineStr">
        <is>
          <t>2022年</t>
        </is>
      </c>
      <c r="C3" s="3" t="inlineStr">
        <is>
          <t>2023年</t>
        </is>
      </c>
      <c r="D3" s="3" t="inlineStr">
        <is>
          <t>2024年</t>
        </is>
      </c>
      <c r="E3" s="3" t="inlineStr">
        <is>
          <t>2024年同比</t>
        </is>
      </c>
    </row>
    <row r="4">
      <c r="A4" s="4" t="inlineStr">
        <is>
          <t>营业收入（万元）</t>
        </is>
      </c>
      <c r="B4" s="5" t="n">
        <v>3842</v>
      </c>
      <c r="C4" s="5" t="n">
        <v>4517</v>
      </c>
      <c r="D4" s="5" t="n">
        <v>5394</v>
      </c>
      <c r="E4" s="6">
        <f>IF(C4=0,"",D4/C4-1)</f>
        <v/>
      </c>
    </row>
    <row r="5">
      <c r="A5" s="4" t="inlineStr">
        <is>
          <t>营业成本（万元）</t>
        </is>
      </c>
      <c r="B5" s="5" t="n">
        <v>2215</v>
      </c>
      <c r="C5" s="5" t="n">
        <v>2644</v>
      </c>
      <c r="D5" s="5" t="n">
        <v>3101</v>
      </c>
      <c r="E5" s="6">
        <f>IF(C5=0,"",D5/C5-1)</f>
        <v/>
      </c>
    </row>
    <row r="6">
      <c r="A6" s="4" t="inlineStr">
        <is>
          <t>毛利率</t>
        </is>
      </c>
      <c r="B6" s="7" t="n">
        <v>0.423</v>
      </c>
      <c r="C6" s="7" t="n">
        <v>0.415</v>
      </c>
      <c r="D6" s="7" t="n">
        <v>0.425</v>
      </c>
      <c r="E6" s="8">
        <f>(D6-C6)*100</f>
        <v/>
      </c>
    </row>
    <row r="7">
      <c r="A7" s="4" t="inlineStr">
        <is>
          <t>研发费用（万元）</t>
        </is>
      </c>
      <c r="B7" s="5" t="n">
        <v>612</v>
      </c>
      <c r="C7" s="5" t="n">
        <v>748</v>
      </c>
      <c r="D7" s="5" t="n">
        <v>905</v>
      </c>
      <c r="E7" s="6">
        <f>IF(C7=0,"",D7/C7-1)</f>
        <v/>
      </c>
    </row>
    <row r="8">
      <c r="A8" s="4" t="inlineStr">
        <is>
          <t>净利润（万元）</t>
        </is>
      </c>
      <c r="B8" s="5" t="n">
        <v>386</v>
      </c>
      <c r="C8" s="5" t="n">
        <v>452</v>
      </c>
      <c r="D8" s="5" t="n">
        <v>618</v>
      </c>
      <c r="E8" s="6">
        <f>IF(C8=0,"",D8/C8-1)</f>
        <v/>
      </c>
    </row>
    <row r="9">
      <c r="A9" s="4" t="inlineStr">
        <is>
          <t>资产负债率</t>
        </is>
      </c>
      <c r="B9" s="7" t="n">
        <v>0.386</v>
      </c>
      <c r="C9" s="7" t="n">
        <v>0.412</v>
      </c>
      <c r="D9" s="7" t="n">
        <v>0.398</v>
      </c>
      <c r="E9" s="8">
        <f>(D9-C9)*100</f>
        <v/>
      </c>
    </row>
    <row r="10">
      <c r="A10" s="9" t="inlineStr">
        <is>
          <t>毛利额（万元）</t>
        </is>
      </c>
      <c r="B10" s="10">
        <f>B4-B5</f>
        <v/>
      </c>
      <c r="C10" s="10">
        <f>C4-C5</f>
        <v/>
      </c>
      <c r="D10" s="10">
        <f>D4-D5</f>
        <v/>
      </c>
      <c r="E10" s="6">
        <f>IF(C10=0,"",D10/C10-1)</f>
        <v/>
      </c>
    </row>
    <row r="11">
      <c r="A11" s="9" t="inlineStr">
        <is>
          <t>研发费用率</t>
        </is>
      </c>
      <c r="B11" s="11">
        <f>B7/B4</f>
        <v/>
      </c>
      <c r="C11" s="11">
        <f>C7/C4</f>
        <v/>
      </c>
      <c r="D11" s="11">
        <f>D7/D4</f>
        <v/>
      </c>
      <c r="E11" s="8">
        <f>(D11-C11)*100</f>
        <v/>
      </c>
    </row>
    <row r="12">
      <c r="A12" s="9" t="inlineStr">
        <is>
          <t>净利率</t>
        </is>
      </c>
      <c r="B12" s="11">
        <f>B8/B4</f>
        <v/>
      </c>
      <c r="C12" s="11">
        <f>C8/C4</f>
        <v/>
      </c>
      <c r="D12" s="11">
        <f>D8/D4</f>
        <v/>
      </c>
      <c r="E12" s="8">
        <f>(D12-C12)*100</f>
        <v/>
      </c>
    </row>
    <row r="14">
      <c r="A14" s="12" t="inlineStr">
        <is>
          <t>三年净利润合计（万元）</t>
        </is>
      </c>
      <c r="B14" s="13">
        <f>SUM(B8:D8)</f>
        <v/>
      </c>
    </row>
    <row r="15">
      <c r="A15" s="12" t="inlineStr">
        <is>
          <t>三年营业收入合计（万元）</t>
        </is>
      </c>
      <c r="B15" s="13">
        <f>SUM(B4:D4)</f>
        <v/>
      </c>
    </row>
  </sheetData>
  <mergeCells count="2">
    <mergeCell ref="A2:E2"/>
    <mergeCell ref="A1:E1"/>
  </mergeCells>
  <conditionalFormatting sqref="E4:E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4:D5">
    <cfRule type="dataBar" priority="3">
      <dataBar showValue="1">
        <cfvo type="min"/>
        <cfvo type="max"/>
        <color rgb="005B9BD5"/>
      </dataBar>
    </cfRule>
  </conditionalFormatting>
  <conditionalFormatting sqref="B7:D8">
    <cfRule type="dataBar" priority="4">
      <dataBar showValue="1">
        <cfvo type="min"/>
        <cfvo type="max"/>
        <color rgb="005B9BD5"/>
      </dataBar>
    </cfRule>
  </conditionalFormatting>
  <conditionalFormatting sqref="B10:D10">
    <cfRule type="dataBar" priority="5">
      <dataBar showValue="1">
        <cfvo type="min"/>
        <cfvo type="max"/>
        <color rgb="005B9BD5"/>
      </dataBar>
    </cfRule>
  </conditionalFormatting>
  <conditionalFormatting sqref="B9:D9">
    <cfRule type="cellIs" priority="6" operator="greaterThan" dxfId="1">
      <formula>0.4</formula>
    </cfRule>
  </conditionalFormatting>
  <conditionalFormatting sqref="B6:D6">
    <cfRule type="cellIs" priority="7" operator="lessThan" dxfId="2">
      <formula>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4" t="inlineStr">
        <is>
          <t>项目</t>
        </is>
      </c>
      <c r="B1" s="14" t="inlineStr">
        <is>
          <t>说明</t>
        </is>
      </c>
    </row>
    <row r="2">
      <c r="A2" s="15" t="inlineStr">
        <is>
          <t>数据来源</t>
        </is>
      </c>
      <c r="B2" s="16" t="inlineStr">
        <is>
          <t>素材/表格/table1_财务摘要.csv 与 table1_财务摘要.png，二者一致；CSV 数字含千分位逗号，已按 5 列结构正确解析。</t>
        </is>
      </c>
    </row>
    <row r="3">
      <c r="A3" s="15" t="inlineStr">
        <is>
          <t>金额口径</t>
        </is>
      </c>
      <c r="B3" s="16" t="inlineStr">
        <is>
          <t>营业收入、营业成本、研发费用、净利润、毛利额单位均为万元；金额单元格为数值型并采用千分位格式。</t>
        </is>
      </c>
    </row>
    <row r="4">
      <c r="A4" s="15" t="inlineStr">
        <is>
          <t>比率口径</t>
        </is>
      </c>
      <c r="B4" s="16" t="inlineStr">
        <is>
          <t>毛利率、资产负债率、研发费用率、净利率按小数存储、百分比显示（如 42.3% 存为 0.423）。</t>
        </is>
      </c>
    </row>
    <row r="5">
      <c r="A5" s="15" t="inlineStr">
        <is>
          <t>同比口径</t>
        </is>
      </c>
      <c r="B5" s="16" t="inlineStr">
        <is>
          <t>金额行 2024 年同比 = 2024/2023-1（增长率）；比率行 2024 年同比 = 2024-2023，单位为百分点（pct）。</t>
        </is>
      </c>
    </row>
    <row r="6">
      <c r="A6" s="15" t="inlineStr">
        <is>
          <t>派生指标公式</t>
        </is>
      </c>
      <c r="B6" s="16" t="inlineStr">
        <is>
          <t>毛利额=营业收入-营业成本；研发费用率=研发费用/营业收入；净利率=净利润/营业收入。</t>
        </is>
      </c>
    </row>
    <row r="7">
      <c r="A7" s="15" t="inlineStr">
        <is>
          <t>条件格式</t>
        </is>
      </c>
      <c r="B7" s="16" t="inlineStr">
        <is>
          <t>同比列正增长绿底、负增长红底；金额行 2022–2024 加数据条；资产负债率&gt;40% 标红；毛利率&lt;40% 黄色提示。</t>
        </is>
      </c>
    </row>
    <row r="8">
      <c r="A8" s="15" t="inlineStr">
        <is>
          <t>问答1：2024年净利润</t>
        </is>
      </c>
      <c r="B8" s="16" t="inlineStr">
        <is>
          <t>618 万元（单元格 财务分析报表!D8）</t>
        </is>
      </c>
    </row>
    <row r="9">
      <c r="A9" s="15" t="inlineStr">
        <is>
          <t>问答2：毛利率同比变化</t>
        </is>
      </c>
      <c r="B9" s="16" t="inlineStr">
        <is>
          <t>+1.0pct（单元格 财务分析报表!E6，42.5%-41.5%）</t>
        </is>
      </c>
    </row>
    <row r="10">
      <c r="A10" s="15" t="inlineStr">
        <is>
          <t>问答3：三年净利润合计</t>
        </is>
      </c>
      <c r="B10" s="16" t="inlineStr">
        <is>
          <t>1,456 万元（单元格 财务分析报表!B14 =SUM(B8:D8)，386+452+618）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2026-09-22T14:03:23Z</dcterms:created>
  <dcterms:modified xmlns:dcterms="http://purl.org/dc/terms/" xmlns:xsi="http://www.w3.org/2001/XMLSchema-instance" xsi:type="dcterms:W3CDTF">2026-09-22T14:03:23Z</dcterms:modified>
</cp:coreProperties>
</file>